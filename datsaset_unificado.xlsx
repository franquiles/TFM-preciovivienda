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-10882" sheetId="1" r:id="rId5"/>
    <sheet state="visible" name="Hoja2" sheetId="2" r:id="rId6"/>
  </sheets>
  <definedNames/>
  <calcPr/>
</workbook>
</file>

<file path=xl/sharedStrings.xml><?xml version="1.0" encoding="utf-8"?>
<sst xmlns="http://schemas.openxmlformats.org/spreadsheetml/2006/main" count="69" uniqueCount="42">
  <si>
    <t>Salarios, ingresos, cohesión social</t>
  </si>
  <si>
    <t>Salario anual medio, mediano y modal. Salario por hora. Brecha salarial de género (no ajustada) en salarios por hora</t>
  </si>
  <si>
    <t>Salario anual medio, mediano, modal, a tiempo completo y a tiempo parcial, por periodo.</t>
  </si>
  <si>
    <t>Unidades: €, %</t>
  </si>
  <si>
    <t xml:space="preserve"> </t>
  </si>
  <si>
    <t>Mujeres</t>
  </si>
  <si>
    <t>Hombres</t>
  </si>
  <si>
    <t>Cociente mujeres respecto a hombres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</si>
  <si>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</si>
  <si>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</si>
  <si>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</si>
  <si>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</si>
  <si>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</si>
  <si>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</si>
  <si>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</si>
  <si>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</si>
  <si>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</si>
  <si>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</si>
  <si>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</si>
  <si>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</si>
  <si>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</si>
  <si>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Salario a tiempo completo</t>
  </si>
  <si>
    <t>Salario medio bruto</t>
  </si>
  <si>
    <t>Salario mediano</t>
  </si>
  <si>
    <t>Salario más frecuente</t>
  </si>
  <si>
    <t>Salario a tiempo parcial</t>
  </si>
  <si>
    <t>Notas:</t>
  </si>
  <si>
    <t>Fuente: Encuestas de Estructura Salarial. INE</t>
  </si>
  <si>
    <t xml:space="preserve">Fuente: </t>
  </si>
  <si>
    <t>Instituto Nacional de Estadística</t>
  </si>
  <si>
    <t>AÑO</t>
  </si>
  <si>
    <t>PRECIO(€/m²)</t>
  </si>
  <si>
    <t>COMPRAVENTAS</t>
  </si>
  <si>
    <t>IMPORTE MEDIO(€)</t>
  </si>
  <si>
    <t>SALARIO MEDIO GENERAL(€)</t>
  </si>
  <si>
    <t>TASA DE PARO(16 a 19 años)</t>
  </si>
  <si>
    <t>TASA DE PARO (19-25 años)</t>
  </si>
  <si>
    <t>TASA DE PARO (25-54 años)</t>
  </si>
  <si>
    <t>PRECIO DE VIVIENDA</t>
  </si>
  <si>
    <t>ÍNDICE SALARIO BASE 2015</t>
  </si>
  <si>
    <t>ÍNDICE VIVIENDA BASE 2015</t>
  </si>
  <si>
    <t>INDICADOR ESFUERZO RELATIVO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</si>
</sst>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Arial"/>
    </font>
    <font/>
    <font>
      <b/>
      <sz val="10.0"/>
      <color rgb="FF000000"/>
      <name val="Arial"/>
    </font>
    <font>
      <sz val="11.0"/>
      <color rgb="FFFFFFFF"/>
      <name val="Calibri"/>
    </font>
    <font>
      <sz val="10.0"/>
      <color theme="1"/>
      <name val="Arial"/>
    </font>
    <font>
      <sz val="9.0"/>
      <color rgb="FF000000"/>
      <name val="Arial"/>
    </font>
    <font>
      <color theme="1"/>
      <name val="Arial"/>
      <scheme val="minor"/>
    </font>
    <font>
      <sz val="10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89BEBA"/>
        <bgColor rgb="FF89BEBA"/>
      </patternFill>
    </fill>
    <fill>
      <patternFill patternType="solid">
        <fgColor rgb="FFDDEEEC"/>
        <bgColor rgb="FFDDEEEC"/>
      </patternFill>
    </fill>
    <fill>
      <patternFill patternType="solid">
        <fgColor rgb="FFFFFFFF"/>
        <bgColor rgb="FFFFFFFF"/>
      </patternFill>
    </fill>
    <fill>
      <patternFill patternType="solid">
        <fgColor rgb="FFF3F4F7"/>
        <bgColor rgb="FFF3F4F7"/>
      </patternFill>
    </fill>
  </fills>
  <borders count="5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shrinkToFit="0" vertical="bottom" wrapText="0"/>
    </xf>
    <xf borderId="1" fillId="4" fontId="4" numFmtId="0" xfId="0" applyAlignment="1" applyBorder="1" applyFill="1" applyFont="1">
      <alignment shrinkToFit="0" vertical="bottom" wrapText="0"/>
    </xf>
    <xf borderId="1" fillId="4" fontId="1" numFmtId="0" xfId="0" applyAlignment="1" applyBorder="1" applyFont="1">
      <alignment shrinkToFit="0" vertical="bottom" wrapText="0"/>
    </xf>
    <xf borderId="1" fillId="4" fontId="3" numFmtId="0" xfId="0" applyAlignment="1" applyBorder="1" applyFont="1">
      <alignment shrinkToFit="0" vertical="bottom" wrapText="0"/>
    </xf>
    <xf borderId="4" fillId="2" fontId="5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horizontal="left" shrinkToFit="0" vertical="bottom" wrapText="0"/>
    </xf>
    <xf borderId="4" fillId="3" fontId="3" numFmtId="0" xfId="0" applyAlignment="1" applyBorder="1" applyFont="1">
      <alignment horizontal="center" shrinkToFit="0" vertical="bottom" wrapText="0"/>
    </xf>
    <xf borderId="4" fillId="2" fontId="3" numFmtId="0" xfId="0" applyAlignment="1" applyBorder="1" applyFont="1">
      <alignment horizontal="left" shrinkToFit="0" vertical="bottom" wrapText="0"/>
    </xf>
    <xf borderId="4" fillId="5" fontId="6" numFmtId="4" xfId="0" applyAlignment="1" applyBorder="1" applyFill="1" applyFont="1" applyNumberFormat="1">
      <alignment horizontal="right" shrinkToFit="0" vertical="bottom" wrapText="0"/>
    </xf>
    <xf borderId="4" fillId="4" fontId="3" numFmtId="0" xfId="0" applyAlignment="1" applyBorder="1" applyFont="1">
      <alignment shrinkToFit="0" vertical="bottom" wrapText="0"/>
    </xf>
    <xf borderId="0" fillId="0" fontId="7" numFmtId="0" xfId="0" applyFont="1"/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8" numFmtId="0" xfId="0" applyAlignment="1" applyFont="1">
      <alignment shrinkToFit="0" vertical="bottom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del salario medio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Hoja2!$A$2:$A$16</c:f>
            </c:strRef>
          </c:cat>
          <c:val>
            <c:numRef>
              <c:f>Hoja2!$E$2:$E$16</c:f>
              <c:numCache/>
            </c:numRef>
          </c:val>
        </c:ser>
        <c:axId val="360511999"/>
        <c:axId val="1619985038"/>
      </c:barChart>
      <c:catAx>
        <c:axId val="360511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9985038"/>
      </c:catAx>
      <c:valAx>
        <c:axId val="16199850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SALARIO MEDIO(€)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05119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1"/>
          <c:order val="1"/>
          <c:tx>
            <c:strRef>
              <c:f>Hoja2!$E$2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Hoja2!$A$2:$A$19</c:f>
            </c:strRef>
          </c:cat>
          <c:val>
            <c:numRef>
              <c:f>Hoja2!$E$3:$E$16</c:f>
              <c:numCache/>
            </c:numRef>
          </c:val>
          <c:smooth val="0"/>
        </c:ser>
        <c:axId val="1250199243"/>
        <c:axId val="658987257"/>
      </c:lineChart>
      <c:catAx>
        <c:axId val="12501992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8987257"/>
      </c:catAx>
      <c:valAx>
        <c:axId val="65898725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Salario medio (€)</a:t>
                </a:r>
              </a:p>
            </c:rich>
          </c:tx>
          <c:overlay val="0"/>
        </c:title>
        <c:numFmt formatCode="#,##0.00\ [$€-1]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0199243"/>
      </c:valAx>
      <c:lineChart>
        <c:varyColors val="0"/>
        <c:ser>
          <c:idx val="0"/>
          <c:order val="0"/>
          <c:tx>
            <c:strRef>
              <c:f>Hoja2!$I$2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Hoja2!$A$2:$A$19</c:f>
            </c:strRef>
          </c:cat>
          <c:val>
            <c:numRef>
              <c:f>Hoja2!$I$3:$I$16</c:f>
              <c:numCache/>
            </c:numRef>
          </c:val>
          <c:smooth val="0"/>
        </c:ser>
        <c:axId val="1394549240"/>
        <c:axId val="1591032063"/>
      </c:lineChart>
      <c:catAx>
        <c:axId val="13945492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1032063"/>
      </c:catAx>
      <c:valAx>
        <c:axId val="159103206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Índice de precios de vivienda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4549240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de la tasa de paro</a:t>
            </a:r>
          </a:p>
        </c:rich>
      </c:tx>
      <c:overlay val="0"/>
    </c:title>
    <c:plotArea>
      <c:layout/>
      <c:lineChart>
        <c:ser>
          <c:idx val="0"/>
          <c:order val="0"/>
          <c:tx>
            <c:v>16-19 AÑOS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Hoja2!$A$2:$A$19</c:f>
            </c:strRef>
          </c:cat>
          <c:val>
            <c:numRef>
              <c:f>Hoja2!$F$2:$F$19</c:f>
              <c:numCache/>
            </c:numRef>
          </c:val>
          <c:smooth val="0"/>
        </c:ser>
        <c:ser>
          <c:idx val="1"/>
          <c:order val="1"/>
          <c:tx>
            <c:v>19-25 AÑOS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Hoja2!$A$2:$A$19</c:f>
            </c:strRef>
          </c:cat>
          <c:val>
            <c:numRef>
              <c:f>Hoja2!$G$2:$G$19</c:f>
              <c:numCache/>
            </c:numRef>
          </c:val>
          <c:smooth val="0"/>
        </c:ser>
        <c:ser>
          <c:idx val="2"/>
          <c:order val="2"/>
          <c:tx>
            <c:v>25-54 AÑOS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Hoja2!$A$2:$A$19</c:f>
            </c:strRef>
          </c:cat>
          <c:val>
            <c:numRef>
              <c:f>Hoja2!$H$2:$H$19</c:f>
              <c:numCache/>
            </c:numRef>
          </c:val>
          <c:smooth val="0"/>
        </c:ser>
        <c:axId val="1622826407"/>
        <c:axId val="1608174931"/>
      </c:lineChart>
      <c:catAx>
        <c:axId val="1622826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8174931"/>
      </c:catAx>
      <c:valAx>
        <c:axId val="16081749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TASA DE PARO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28264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de las compraventas
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6AA84F"/>
            </a:solidFill>
            <a:ln cmpd="sng">
              <a:noFill/>
            </a:ln>
          </c:spPr>
          <c:cat>
            <c:strRef>
              <c:f>Hoja2!$A$8:$A$19</c:f>
            </c:strRef>
          </c:cat>
          <c:val>
            <c:numRef>
              <c:f>Hoja2!$C$8:$C$19</c:f>
              <c:numCache/>
            </c:numRef>
          </c:val>
        </c:ser>
        <c:axId val="1180877625"/>
        <c:axId val="1536771677"/>
      </c:barChart>
      <c:catAx>
        <c:axId val="1180877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6771677"/>
      </c:catAx>
      <c:valAx>
        <c:axId val="15367716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COMPRAVENTAS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08776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del esfuerzo económico para el acceso a la vivienda (2015-2023)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Hoja2!$A$8:$A$16</c:f>
            </c:strRef>
          </c:cat>
          <c:val>
            <c:numRef>
              <c:f>Hoja2!$L$8:$L$16</c:f>
              <c:numCache/>
            </c:numRef>
          </c:val>
          <c:smooth val="0"/>
        </c:ser>
        <c:axId val="1912995342"/>
        <c:axId val="365323396"/>
      </c:lineChart>
      <c:catAx>
        <c:axId val="19129953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5323396"/>
      </c:catAx>
      <c:valAx>
        <c:axId val="365323396"/>
        <c:scaling>
          <c:orientation val="minMax"/>
          <c:min val="9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Índice(Base 2015=100)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29953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Relationship Id="rId6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20</xdr:row>
      <xdr:rowOff>133350</xdr:rowOff>
    </xdr:from>
    <xdr:ext cx="5715000" cy="3533775"/>
    <xdr:pic>
      <xdr:nvPicPr>
        <xdr:cNvPr id="950810924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45</xdr:row>
      <xdr:rowOff>133350</xdr:rowOff>
    </xdr:from>
    <xdr:ext cx="5715000" cy="36385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257175</xdr:colOff>
      <xdr:row>21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257175</xdr:colOff>
      <xdr:row>45</xdr:row>
      <xdr:rowOff>57150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1781175</xdr:colOff>
      <xdr:row>23</xdr:row>
      <xdr:rowOff>85725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419100</xdr:colOff>
      <xdr:row>46</xdr:row>
      <xdr:rowOff>133350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9" displayName="Tabla_1" name="Tabla_1" id="1">
  <tableColumns count="12">
    <tableColumn name="AÑO" id="1"/>
    <tableColumn name="PRECIO(€/m²)" id="2"/>
    <tableColumn name="COMPRAVENTAS" id="3"/>
    <tableColumn name="IMPORTE MEDIO(€)" id="4"/>
    <tableColumn name="SALARIO MEDIO GENERAL(€)" id="5"/>
    <tableColumn name="TASA DE PARO(16 a 19 años)" id="6"/>
    <tableColumn name="TASA DE PARO (19-25 años)" id="7"/>
    <tableColumn name="TASA DE PARO (25-54 años)" id="8"/>
    <tableColumn name="PRECIO DE VIVIENDA" id="9"/>
    <tableColumn name="ÍNDICE SALARIO BASE 2015" id="10"/>
    <tableColumn name="ÍNDICE VIVIENDA BASE 2015" id="11"/>
    <tableColumn name="INDICADOR ESFUERZO RELATIVO" id="12"/>
  </tableColumns>
  <tableStyleInfo name="Hoja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0"/>
    <col customWidth="1" min="2" max="40" width="19.5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2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12.75" customHeight="1">
      <c r="A3" s="5"/>
      <c r="B3" s="2"/>
      <c r="C3" s="2"/>
      <c r="D3" s="2"/>
      <c r="E3" s="2"/>
      <c r="F3" s="2"/>
      <c r="G3" s="2"/>
      <c r="H3" s="2"/>
      <c r="I3" s="2"/>
      <c r="J3" s="2"/>
      <c r="K3" s="3"/>
    </row>
    <row r="4" ht="12.75" customHeight="1">
      <c r="A4" s="6" t="s">
        <v>2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 ht="12.75" customHeight="1">
      <c r="A5" s="7" t="s">
        <v>3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 ht="12.75" customHeight="1">
      <c r="A6" s="5"/>
      <c r="B6" s="2"/>
      <c r="C6" s="2"/>
      <c r="D6" s="2"/>
      <c r="E6" s="2"/>
      <c r="F6" s="2"/>
      <c r="G6" s="2"/>
      <c r="H6" s="2"/>
      <c r="I6" s="2"/>
      <c r="J6" s="2"/>
      <c r="K6" s="3"/>
    </row>
    <row r="7" ht="12.75" customHeight="1">
      <c r="A7" s="8" t="s">
        <v>4</v>
      </c>
      <c r="B7" s="9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9" t="s">
        <v>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3"/>
      <c r="AB7" s="9" t="s">
        <v>7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3"/>
    </row>
    <row r="8" ht="12.75" customHeight="1">
      <c r="A8" s="8" t="s">
        <v>4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17</v>
      </c>
      <c r="L8" s="10" t="s">
        <v>18</v>
      </c>
      <c r="M8" s="10" t="s">
        <v>19</v>
      </c>
      <c r="N8" s="10" t="s">
        <v>20</v>
      </c>
      <c r="O8" s="10" t="s">
        <v>8</v>
      </c>
      <c r="P8" s="10" t="s">
        <v>9</v>
      </c>
      <c r="Q8" s="10" t="s">
        <v>10</v>
      </c>
      <c r="R8" s="10" t="s">
        <v>11</v>
      </c>
      <c r="S8" s="10" t="s">
        <v>12</v>
      </c>
      <c r="T8" s="10" t="s">
        <v>13</v>
      </c>
      <c r="U8" s="10" t="s">
        <v>14</v>
      </c>
      <c r="V8" s="10" t="s">
        <v>15</v>
      </c>
      <c r="W8" s="10" t="s">
        <v>16</v>
      </c>
      <c r="X8" s="10" t="s">
        <v>17</v>
      </c>
      <c r="Y8" s="10" t="s">
        <v>18</v>
      </c>
      <c r="Z8" s="10" t="s">
        <v>19</v>
      </c>
      <c r="AA8" s="10" t="s">
        <v>20</v>
      </c>
      <c r="AB8" s="10" t="s">
        <v>8</v>
      </c>
      <c r="AC8" s="10" t="s">
        <v>9</v>
      </c>
      <c r="AD8" s="10" t="s">
        <v>10</v>
      </c>
      <c r="AE8" s="10" t="s">
        <v>11</v>
      </c>
      <c r="AF8" s="10" t="s">
        <v>12</v>
      </c>
      <c r="AG8" s="10" t="s">
        <v>13</v>
      </c>
      <c r="AH8" s="10" t="s">
        <v>14</v>
      </c>
      <c r="AI8" s="10" t="s">
        <v>15</v>
      </c>
      <c r="AJ8" s="10" t="s">
        <v>16</v>
      </c>
      <c r="AK8" s="10" t="s">
        <v>17</v>
      </c>
      <c r="AL8" s="10" t="s">
        <v>18</v>
      </c>
      <c r="AM8" s="10" t="s">
        <v>19</v>
      </c>
      <c r="AN8" s="10" t="s">
        <v>20</v>
      </c>
    </row>
    <row r="9" ht="12.75" customHeight="1">
      <c r="A9" s="11" t="s">
        <v>21</v>
      </c>
      <c r="B9" s="12">
        <v>28185.85</v>
      </c>
      <c r="C9" s="12">
        <v>27466.76</v>
      </c>
      <c r="D9" s="12">
        <v>26939.88</v>
      </c>
      <c r="E9" s="12">
        <v>26274.06</v>
      </c>
      <c r="F9" s="12">
        <v>25416.75</v>
      </c>
      <c r="G9" s="12">
        <v>24813.73</v>
      </c>
      <c r="H9" s="12">
        <v>25045.91</v>
      </c>
      <c r="I9" s="12">
        <v>25041.55</v>
      </c>
      <c r="J9" s="12">
        <v>23994.34</v>
      </c>
      <c r="K9" s="12">
        <v>23674.19</v>
      </c>
      <c r="L9" s="12">
        <v>23692.76</v>
      </c>
      <c r="M9" s="12">
        <v>23932.01</v>
      </c>
      <c r="N9" s="12">
        <v>22898.25</v>
      </c>
      <c r="O9" s="12">
        <v>30740.07</v>
      </c>
      <c r="P9" s="12">
        <v>29918.94</v>
      </c>
      <c r="Q9" s="12">
        <v>29501.75</v>
      </c>
      <c r="R9" s="12">
        <v>29354.53</v>
      </c>
      <c r="S9" s="12">
        <v>28716.71</v>
      </c>
      <c r="T9" s="12">
        <v>28363.24</v>
      </c>
      <c r="U9" s="12">
        <v>28509.14</v>
      </c>
      <c r="V9" s="12">
        <v>28318.14</v>
      </c>
      <c r="W9" s="12">
        <v>28095.6</v>
      </c>
      <c r="X9" s="12">
        <v>27898.06</v>
      </c>
      <c r="Y9" s="12">
        <v>27595.54</v>
      </c>
      <c r="Z9" s="12">
        <v>27335.23</v>
      </c>
      <c r="AA9" s="12">
        <v>26523.55</v>
      </c>
      <c r="AB9" s="12">
        <v>91.69</v>
      </c>
      <c r="AC9" s="12">
        <v>91.8</v>
      </c>
      <c r="AD9" s="12">
        <v>91.32</v>
      </c>
      <c r="AE9" s="12">
        <v>89.51</v>
      </c>
      <c r="AF9" s="12">
        <v>88.51</v>
      </c>
      <c r="AG9" s="12">
        <v>87.49</v>
      </c>
      <c r="AH9" s="12">
        <v>87.85</v>
      </c>
      <c r="AI9" s="12">
        <v>88.43</v>
      </c>
      <c r="AJ9" s="12">
        <v>85.4</v>
      </c>
      <c r="AK9" s="12">
        <v>84.86</v>
      </c>
      <c r="AL9" s="12">
        <v>85.86</v>
      </c>
      <c r="AM9" s="12">
        <v>87.55</v>
      </c>
      <c r="AN9" s="12">
        <v>86.33</v>
      </c>
    </row>
    <row r="10" ht="12.75" customHeight="1">
      <c r="A10" s="11" t="s">
        <v>22</v>
      </c>
      <c r="B10" s="12">
        <v>23175.95</v>
      </c>
      <c r="C10" s="12">
        <v>22467.48</v>
      </c>
      <c r="D10" s="12">
        <v>21682.02</v>
      </c>
      <c r="E10" s="12">
        <v>21011.89</v>
      </c>
      <c r="F10" s="12">
        <v>20607.85</v>
      </c>
      <c r="G10" s="12">
        <v>20131.41</v>
      </c>
      <c r="H10" s="12">
        <v>20051.58</v>
      </c>
      <c r="I10" s="12">
        <v>19744.82</v>
      </c>
      <c r="J10" s="12">
        <v>19514.58</v>
      </c>
      <c r="K10" s="12">
        <v>19537.33</v>
      </c>
      <c r="L10" s="12">
        <v>19767.59</v>
      </c>
      <c r="M10" s="12">
        <v>19735.22</v>
      </c>
      <c r="N10" s="12">
        <v>19502.02</v>
      </c>
      <c r="O10" s="12">
        <v>28388.69</v>
      </c>
      <c r="P10" s="12">
        <v>27642.52</v>
      </c>
      <c r="Q10" s="12">
        <v>26934.38</v>
      </c>
      <c r="R10" s="12">
        <v>26738.19</v>
      </c>
      <c r="S10" s="12">
        <v>26391.84</v>
      </c>
      <c r="T10" s="12">
        <v>25924.43</v>
      </c>
      <c r="U10" s="12">
        <v>25992.76</v>
      </c>
      <c r="V10" s="12">
        <v>25727.24</v>
      </c>
      <c r="W10" s="12">
        <v>25675.17</v>
      </c>
      <c r="X10" s="12">
        <v>25682.05</v>
      </c>
      <c r="Y10" s="12">
        <v>25667.89</v>
      </c>
      <c r="Z10" s="12">
        <v>25479.74</v>
      </c>
      <c r="AA10" s="12">
        <v>25001.05</v>
      </c>
      <c r="AB10" s="12">
        <v>81.64</v>
      </c>
      <c r="AC10" s="12">
        <v>81.28</v>
      </c>
      <c r="AD10" s="12">
        <v>80.5</v>
      </c>
      <c r="AE10" s="12">
        <v>78.58</v>
      </c>
      <c r="AF10" s="12">
        <v>78.08</v>
      </c>
      <c r="AG10" s="12">
        <v>77.65</v>
      </c>
      <c r="AH10" s="12">
        <v>77.14</v>
      </c>
      <c r="AI10" s="12">
        <v>76.75</v>
      </c>
      <c r="AJ10" s="12">
        <v>76.01</v>
      </c>
      <c r="AK10" s="12">
        <v>76.07</v>
      </c>
      <c r="AL10" s="12">
        <v>77.01</v>
      </c>
      <c r="AM10" s="12">
        <v>77.45</v>
      </c>
      <c r="AN10" s="12">
        <v>78.0</v>
      </c>
    </row>
    <row r="11" ht="12.75" customHeight="1">
      <c r="A11" s="11" t="s">
        <v>23</v>
      </c>
      <c r="B11" s="12">
        <v>19162.47</v>
      </c>
      <c r="C11" s="12">
        <v>18556.68</v>
      </c>
      <c r="D11" s="12">
        <v>17961.93</v>
      </c>
      <c r="E11" s="12">
        <v>17467.43</v>
      </c>
      <c r="F11" s="12">
        <v>17214.6</v>
      </c>
      <c r="G11" s="12">
        <v>16831.58</v>
      </c>
      <c r="H11" s="12">
        <v>16825.11</v>
      </c>
      <c r="I11" s="12">
        <v>16771.32</v>
      </c>
      <c r="J11" s="12">
        <v>16452.43</v>
      </c>
      <c r="K11" s="12">
        <v>16524.51</v>
      </c>
      <c r="L11" s="12">
        <v>16796.41</v>
      </c>
      <c r="M11" s="12">
        <v>16536.1</v>
      </c>
      <c r="N11" s="12">
        <v>16433.14</v>
      </c>
      <c r="O11" s="12">
        <v>23490.62</v>
      </c>
      <c r="P11" s="12">
        <v>22774.1</v>
      </c>
      <c r="Q11" s="12">
        <v>22368.07</v>
      </c>
      <c r="R11" s="12">
        <v>22241.88</v>
      </c>
      <c r="S11" s="12">
        <v>21970.34</v>
      </c>
      <c r="T11" s="12">
        <v>21626.0</v>
      </c>
      <c r="U11" s="12">
        <v>21740.88</v>
      </c>
      <c r="V11" s="12">
        <v>21528.5</v>
      </c>
      <c r="W11" s="12">
        <v>21371.13</v>
      </c>
      <c r="X11" s="12">
        <v>21425.14</v>
      </c>
      <c r="Y11" s="12">
        <v>21487.99</v>
      </c>
      <c r="Z11" s="12">
        <v>21206.99</v>
      </c>
      <c r="AA11" s="12">
        <v>20730.71</v>
      </c>
      <c r="AB11" s="12">
        <v>81.57</v>
      </c>
      <c r="AC11" s="12">
        <v>81.48</v>
      </c>
      <c r="AD11" s="12">
        <v>80.3</v>
      </c>
      <c r="AE11" s="12">
        <v>78.53</v>
      </c>
      <c r="AF11" s="12">
        <v>78.35</v>
      </c>
      <c r="AG11" s="12">
        <v>77.83</v>
      </c>
      <c r="AH11" s="12">
        <v>77.39</v>
      </c>
      <c r="AI11" s="12">
        <v>77.9</v>
      </c>
      <c r="AJ11" s="12">
        <v>76.98</v>
      </c>
      <c r="AK11" s="12">
        <v>77.13</v>
      </c>
      <c r="AL11" s="12">
        <v>78.17</v>
      </c>
      <c r="AM11" s="12">
        <v>77.97</v>
      </c>
      <c r="AN11" s="12">
        <v>79.27</v>
      </c>
    </row>
    <row r="12" ht="12.75" customHeight="1">
      <c r="A12" s="11" t="s">
        <v>24</v>
      </c>
      <c r="B12" s="12">
        <v>14481.56</v>
      </c>
      <c r="C12" s="12">
        <v>13531.73</v>
      </c>
      <c r="D12" s="12">
        <v>13514.82</v>
      </c>
      <c r="E12" s="12">
        <v>15484.45</v>
      </c>
      <c r="F12" s="12">
        <v>13518.63</v>
      </c>
      <c r="G12" s="12">
        <v>13500.44</v>
      </c>
      <c r="H12" s="12">
        <v>14487.75</v>
      </c>
      <c r="I12" s="12">
        <v>14497.92</v>
      </c>
      <c r="J12" s="12">
        <v>14501.84</v>
      </c>
      <c r="K12" s="12">
        <v>14514.6</v>
      </c>
      <c r="L12" s="12">
        <v>14468.5</v>
      </c>
      <c r="M12" s="12">
        <v>12540.31</v>
      </c>
      <c r="N12" s="12">
        <v>14490.32</v>
      </c>
      <c r="O12" s="12">
        <v>19487.6</v>
      </c>
      <c r="P12" s="12">
        <v>18491.68</v>
      </c>
      <c r="Q12" s="12">
        <v>18506.79</v>
      </c>
      <c r="R12" s="12">
        <v>18470.75</v>
      </c>
      <c r="S12" s="12">
        <v>17501.52</v>
      </c>
      <c r="T12" s="12">
        <v>17509.37</v>
      </c>
      <c r="U12" s="12">
        <v>17502.37</v>
      </c>
      <c r="V12" s="12">
        <v>16515.73</v>
      </c>
      <c r="W12" s="12">
        <v>17498.69</v>
      </c>
      <c r="X12" s="12">
        <v>16510.1</v>
      </c>
      <c r="Y12" s="12">
        <v>18465.22</v>
      </c>
      <c r="Z12" s="12">
        <v>16505.27</v>
      </c>
      <c r="AA12" s="12">
        <v>16492.86</v>
      </c>
      <c r="AB12" s="12">
        <v>74.31</v>
      </c>
      <c r="AC12" s="12">
        <v>73.18</v>
      </c>
      <c r="AD12" s="12">
        <v>73.03</v>
      </c>
      <c r="AE12" s="12">
        <v>83.83</v>
      </c>
      <c r="AF12" s="12">
        <v>77.24</v>
      </c>
      <c r="AG12" s="12">
        <v>77.1</v>
      </c>
      <c r="AH12" s="12">
        <v>82.78</v>
      </c>
      <c r="AI12" s="12">
        <v>87.78</v>
      </c>
      <c r="AJ12" s="12">
        <v>82.87</v>
      </c>
      <c r="AK12" s="12">
        <v>87.91</v>
      </c>
      <c r="AL12" s="12">
        <v>78.36</v>
      </c>
      <c r="AM12" s="12">
        <v>75.98</v>
      </c>
      <c r="AN12" s="12">
        <v>87.86</v>
      </c>
    </row>
    <row r="13" ht="12.75" customHeight="1">
      <c r="A13" s="11" t="s">
        <v>25</v>
      </c>
      <c r="B13" s="12">
        <v>11650.36</v>
      </c>
      <c r="C13" s="12">
        <v>11152.67</v>
      </c>
      <c r="D13" s="12">
        <v>10892.24</v>
      </c>
      <c r="E13" s="12">
        <v>10580.42</v>
      </c>
      <c r="F13" s="12">
        <v>10409.96</v>
      </c>
      <c r="G13" s="12">
        <v>10023.72</v>
      </c>
      <c r="H13" s="12">
        <v>9851.64</v>
      </c>
      <c r="I13" s="12">
        <v>9690.5</v>
      </c>
      <c r="J13" s="12">
        <v>9766.17</v>
      </c>
      <c r="K13" s="12">
        <v>9988.41</v>
      </c>
      <c r="L13" s="12">
        <v>10077.81</v>
      </c>
      <c r="M13" s="12">
        <v>10133.18</v>
      </c>
      <c r="N13" s="12">
        <v>9872.39</v>
      </c>
      <c r="O13" s="12">
        <v>12888.85</v>
      </c>
      <c r="P13" s="12">
        <v>12685.74</v>
      </c>
      <c r="Q13" s="12">
        <v>12421.5</v>
      </c>
      <c r="R13" s="12">
        <v>12344.73</v>
      </c>
      <c r="S13" s="12">
        <v>11279.92</v>
      </c>
      <c r="T13" s="12">
        <v>10737.52</v>
      </c>
      <c r="U13" s="12">
        <v>10538.84</v>
      </c>
      <c r="V13" s="12">
        <v>10028.85</v>
      </c>
      <c r="W13" s="12">
        <v>10670.74</v>
      </c>
      <c r="X13" s="12">
        <v>11032.1</v>
      </c>
      <c r="Y13" s="12">
        <v>11232.73</v>
      </c>
      <c r="Z13" s="12">
        <v>10960.91</v>
      </c>
      <c r="AA13" s="12">
        <v>11247.94</v>
      </c>
      <c r="AB13" s="12">
        <v>90.39</v>
      </c>
      <c r="AC13" s="12">
        <v>87.92</v>
      </c>
      <c r="AD13" s="12">
        <v>87.69</v>
      </c>
      <c r="AE13" s="12">
        <v>85.71</v>
      </c>
      <c r="AF13" s="12">
        <v>92.29</v>
      </c>
      <c r="AG13" s="12">
        <v>93.35</v>
      </c>
      <c r="AH13" s="12">
        <v>93.48</v>
      </c>
      <c r="AI13" s="12">
        <v>96.63</v>
      </c>
      <c r="AJ13" s="12">
        <v>91.52</v>
      </c>
      <c r="AK13" s="12">
        <v>90.54</v>
      </c>
      <c r="AL13" s="12">
        <v>89.72</v>
      </c>
      <c r="AM13" s="12">
        <v>92.45</v>
      </c>
      <c r="AN13" s="12">
        <v>87.77</v>
      </c>
    </row>
    <row r="14" ht="12.75" customHeight="1"/>
    <row r="15" ht="12.75" customHeight="1"/>
    <row r="16" ht="12.75" customHeight="1">
      <c r="A16" s="13" t="s">
        <v>26</v>
      </c>
    </row>
    <row r="17" ht="12.75" customHeight="1">
      <c r="A17" s="14" t="s">
        <v>27</v>
      </c>
    </row>
    <row r="18" ht="12.75" customHeight="1"/>
    <row r="19" ht="12.75" customHeight="1">
      <c r="A19" s="13" t="s">
        <v>28</v>
      </c>
    </row>
    <row r="20" ht="12.75" customHeight="1">
      <c r="A20" s="14" t="s">
        <v>29</v>
      </c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O7:AA7"/>
    <mergeCell ref="AB7:AN7"/>
    <mergeCell ref="A1:K1"/>
    <mergeCell ref="A2:K2"/>
    <mergeCell ref="A3:K3"/>
    <mergeCell ref="A4:K4"/>
    <mergeCell ref="A5:K5"/>
    <mergeCell ref="A6:K6"/>
    <mergeCell ref="B7:N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13"/>
    <col customWidth="1" min="2" max="2" width="19.25"/>
    <col customWidth="1" min="3" max="3" width="21.75"/>
    <col customWidth="1" min="4" max="4" width="23.38"/>
    <col customWidth="1" min="5" max="5" width="30.75"/>
    <col customWidth="1" min="6" max="6" width="30.63"/>
    <col customWidth="1" min="7" max="8" width="29.75"/>
    <col customWidth="1" min="9" max="9" width="24.63"/>
    <col customWidth="1" min="10" max="10" width="27.5"/>
    <col customWidth="1" min="11" max="11" width="26.0"/>
    <col customWidth="1" min="12" max="12" width="26.38"/>
    <col customWidth="1" min="13" max="26" width="8.63"/>
  </cols>
  <sheetData>
    <row r="1" ht="12.75" customHeight="1">
      <c r="A1" s="15" t="s">
        <v>30</v>
      </c>
      <c r="B1" s="15" t="s">
        <v>31</v>
      </c>
      <c r="C1" s="15" t="s">
        <v>32</v>
      </c>
      <c r="D1" s="15" t="s">
        <v>33</v>
      </c>
      <c r="E1" s="15" t="s">
        <v>34</v>
      </c>
      <c r="F1" s="15" t="s">
        <v>35</v>
      </c>
      <c r="G1" s="15" t="s">
        <v>36</v>
      </c>
      <c r="H1" s="15" t="s">
        <v>37</v>
      </c>
      <c r="I1" s="15" t="s">
        <v>38</v>
      </c>
      <c r="J1" s="15" t="s">
        <v>39</v>
      </c>
      <c r="K1" s="15" t="s">
        <v>40</v>
      </c>
      <c r="L1" s="15" t="s">
        <v>41</v>
      </c>
    </row>
    <row r="2" ht="12.75" customHeight="1">
      <c r="A2" s="16">
        <v>2009.0</v>
      </c>
      <c r="B2" s="16"/>
      <c r="C2" s="16"/>
      <c r="D2" s="16"/>
      <c r="E2" s="16">
        <v>22511.47</v>
      </c>
      <c r="F2" s="16">
        <v>55.36</v>
      </c>
      <c r="G2" s="16">
        <v>33.28</v>
      </c>
      <c r="H2" s="16">
        <v>16.34</v>
      </c>
      <c r="I2" s="16">
        <v>137.483</v>
      </c>
    </row>
    <row r="3" ht="12.75" customHeight="1">
      <c r="A3" s="16">
        <v>2010.0</v>
      </c>
      <c r="B3" s="16"/>
      <c r="C3" s="16"/>
      <c r="D3" s="16"/>
      <c r="E3" s="16">
        <v>22790.2</v>
      </c>
      <c r="F3" s="16">
        <v>61.34</v>
      </c>
      <c r="G3" s="16">
        <v>36.89</v>
      </c>
      <c r="H3" s="16">
        <v>18.37</v>
      </c>
      <c r="I3" s="16">
        <v>134.745</v>
      </c>
    </row>
    <row r="4" ht="12.75" customHeight="1">
      <c r="A4" s="16">
        <v>2011.0</v>
      </c>
      <c r="B4" s="16"/>
      <c r="C4" s="16"/>
      <c r="D4" s="16"/>
      <c r="E4" s="16">
        <v>22899.35</v>
      </c>
      <c r="F4" s="16">
        <v>64.34</v>
      </c>
      <c r="G4" s="16">
        <v>42.34</v>
      </c>
      <c r="H4" s="16">
        <v>19.88</v>
      </c>
      <c r="I4" s="16">
        <v>124.829</v>
      </c>
    </row>
    <row r="5" ht="12.75" customHeight="1">
      <c r="A5" s="16">
        <v>2012.0</v>
      </c>
      <c r="B5" s="16"/>
      <c r="C5" s="16"/>
      <c r="D5" s="16"/>
      <c r="E5" s="16">
        <v>22726.44</v>
      </c>
      <c r="F5" s="16">
        <v>72.6</v>
      </c>
      <c r="G5" s="16">
        <v>48.88</v>
      </c>
      <c r="H5" s="16">
        <v>23.26</v>
      </c>
      <c r="I5" s="16">
        <v>107.678</v>
      </c>
    </row>
    <row r="6" ht="12.75" customHeight="1">
      <c r="A6" s="16">
        <v>2013.0</v>
      </c>
      <c r="B6" s="16"/>
      <c r="C6" s="16"/>
      <c r="D6" s="16"/>
      <c r="E6" s="16">
        <v>22697.86</v>
      </c>
      <c r="F6" s="16">
        <v>74.08</v>
      </c>
      <c r="G6" s="16">
        <v>51.77</v>
      </c>
      <c r="H6" s="16">
        <v>24.46</v>
      </c>
      <c r="I6" s="16">
        <v>96.266</v>
      </c>
    </row>
    <row r="7" ht="12.75" customHeight="1">
      <c r="A7" s="16">
        <v>2014.0</v>
      </c>
      <c r="B7" s="16"/>
      <c r="C7" s="16"/>
      <c r="D7" s="16"/>
      <c r="E7" s="16">
        <v>22858.17</v>
      </c>
      <c r="F7" s="16">
        <v>68.64</v>
      </c>
      <c r="G7" s="16">
        <v>50.32</v>
      </c>
      <c r="H7" s="16">
        <v>22.8</v>
      </c>
      <c r="I7" s="16">
        <v>96.553</v>
      </c>
    </row>
    <row r="8" ht="12.75" customHeight="1">
      <c r="A8" s="16">
        <v>2015.0</v>
      </c>
      <c r="B8" s="16">
        <v>1264.0</v>
      </c>
      <c r="C8" s="16">
        <v>386222.0</v>
      </c>
      <c r="D8" s="16">
        <v>141707.0</v>
      </c>
      <c r="E8" s="16">
        <v>23106.3</v>
      </c>
      <c r="F8" s="16">
        <v>67.41</v>
      </c>
      <c r="G8" s="16">
        <v>44.6</v>
      </c>
      <c r="H8" s="16">
        <v>20.55</v>
      </c>
      <c r="I8" s="16">
        <v>100.0</v>
      </c>
      <c r="J8" s="17">
        <f t="shared" ref="J8:J16" si="1">E8/$E$8*100</f>
        <v>100</v>
      </c>
      <c r="K8" s="17">
        <f t="shared" ref="K8:K19" si="2">B8/$B$8*100</f>
        <v>100</v>
      </c>
      <c r="L8" s="17">
        <f t="shared" ref="L8:L16" si="3">K8/J8*100</f>
        <v>100</v>
      </c>
    </row>
    <row r="9" ht="12.75" customHeight="1">
      <c r="A9" s="16">
        <v>2016.0</v>
      </c>
      <c r="B9" s="16">
        <v>1307.0</v>
      </c>
      <c r="C9" s="16">
        <v>440444.0</v>
      </c>
      <c r="D9" s="16">
        <v>145681.0</v>
      </c>
      <c r="E9" s="16">
        <v>23156.34</v>
      </c>
      <c r="F9" s="16">
        <v>60.25</v>
      </c>
      <c r="G9" s="16">
        <v>41.42</v>
      </c>
      <c r="H9" s="16">
        <v>18.21</v>
      </c>
      <c r="I9" s="16">
        <v>104.664</v>
      </c>
      <c r="J9" s="17">
        <f t="shared" si="1"/>
        <v>100.2165643</v>
      </c>
      <c r="K9" s="17">
        <f t="shared" si="2"/>
        <v>103.4018987</v>
      </c>
      <c r="L9" s="17">
        <f t="shared" si="3"/>
        <v>103.178451</v>
      </c>
    </row>
    <row r="10" ht="12.75" customHeight="1">
      <c r="A10" s="16">
        <v>2017.0</v>
      </c>
      <c r="B10" s="16">
        <v>1369.0</v>
      </c>
      <c r="C10" s="16">
        <v>514719.0</v>
      </c>
      <c r="D10" s="16">
        <v>151505.0</v>
      </c>
      <c r="E10" s="16">
        <v>23646.5</v>
      </c>
      <c r="F10" s="16">
        <v>54.83</v>
      </c>
      <c r="G10" s="16">
        <v>35.29</v>
      </c>
      <c r="H10" s="16">
        <v>15.91</v>
      </c>
      <c r="I10" s="16">
        <v>111.137</v>
      </c>
      <c r="J10" s="17">
        <f t="shared" si="1"/>
        <v>102.3378905</v>
      </c>
      <c r="K10" s="17">
        <f t="shared" si="2"/>
        <v>108.306962</v>
      </c>
      <c r="L10" s="17">
        <f t="shared" si="3"/>
        <v>105.8327091</v>
      </c>
    </row>
    <row r="11" ht="12.75" customHeight="1">
      <c r="A11" s="16">
        <v>2018.0</v>
      </c>
      <c r="B11" s="16">
        <v>1402.0</v>
      </c>
      <c r="C11" s="16">
        <v>563586.0</v>
      </c>
      <c r="D11" s="16">
        <v>156938.0</v>
      </c>
      <c r="E11" s="16">
        <v>24009.12</v>
      </c>
      <c r="F11" s="16">
        <v>50.03</v>
      </c>
      <c r="G11" s="16">
        <v>31.06</v>
      </c>
      <c r="H11" s="16">
        <v>14.04</v>
      </c>
      <c r="I11" s="16">
        <v>118.595</v>
      </c>
      <c r="J11" s="17">
        <f t="shared" si="1"/>
        <v>103.9072461</v>
      </c>
      <c r="K11" s="17">
        <f t="shared" si="2"/>
        <v>110.9177215</v>
      </c>
      <c r="L11" s="17">
        <f t="shared" si="3"/>
        <v>106.7468591</v>
      </c>
    </row>
    <row r="12" ht="12.75" customHeight="1">
      <c r="A12" s="16">
        <v>2019.0</v>
      </c>
      <c r="B12" s="16">
        <v>1441.0</v>
      </c>
      <c r="C12" s="16">
        <v>552498.0</v>
      </c>
      <c r="D12" s="16">
        <v>161794.0</v>
      </c>
      <c r="E12" s="16">
        <v>24395.98</v>
      </c>
      <c r="F12" s="16">
        <v>45.39</v>
      </c>
      <c r="G12" s="16">
        <v>28.81</v>
      </c>
      <c r="H12" s="16">
        <v>12.91</v>
      </c>
      <c r="I12" s="16">
        <v>124.597</v>
      </c>
      <c r="J12" s="17">
        <f t="shared" si="1"/>
        <v>105.5815081</v>
      </c>
      <c r="K12" s="17">
        <f t="shared" si="2"/>
        <v>114.0031646</v>
      </c>
      <c r="L12" s="17">
        <f t="shared" si="3"/>
        <v>107.9764503</v>
      </c>
    </row>
    <row r="13" ht="12.75" customHeight="1">
      <c r="A13" s="16">
        <v>2020.0</v>
      </c>
      <c r="B13" s="16">
        <v>1429.0</v>
      </c>
      <c r="C13" s="16">
        <v>471483.0</v>
      </c>
      <c r="D13" s="16">
        <v>168733.0</v>
      </c>
      <c r="E13" s="16">
        <v>25165.51</v>
      </c>
      <c r="F13" s="16">
        <v>54.46</v>
      </c>
      <c r="G13" s="16">
        <v>35.18</v>
      </c>
      <c r="H13" s="16">
        <v>14.49</v>
      </c>
      <c r="I13" s="16">
        <v>127.232</v>
      </c>
      <c r="J13" s="17">
        <f t="shared" si="1"/>
        <v>108.9118985</v>
      </c>
      <c r="K13" s="17">
        <f t="shared" si="2"/>
        <v>113.0537975</v>
      </c>
      <c r="L13" s="17">
        <f t="shared" si="3"/>
        <v>103.8029812</v>
      </c>
    </row>
    <row r="14" ht="12.75" customHeight="1">
      <c r="A14" s="16">
        <v>2021.0</v>
      </c>
      <c r="B14" s="16">
        <v>1523.0</v>
      </c>
      <c r="C14" s="16">
        <v>656289.0</v>
      </c>
      <c r="D14" s="16">
        <v>179102.0</v>
      </c>
      <c r="E14" s="18">
        <v>25896.82</v>
      </c>
      <c r="F14" s="16">
        <v>51.76</v>
      </c>
      <c r="G14" s="16">
        <v>31.83</v>
      </c>
      <c r="H14" s="16">
        <v>13.7</v>
      </c>
      <c r="I14" s="16">
        <v>131.928</v>
      </c>
      <c r="J14" s="17">
        <f t="shared" si="1"/>
        <v>112.0768795</v>
      </c>
      <c r="K14" s="17">
        <f t="shared" si="2"/>
        <v>120.4905063</v>
      </c>
      <c r="L14" s="17">
        <f t="shared" si="3"/>
        <v>107.5070138</v>
      </c>
    </row>
    <row r="15" ht="12.75" customHeight="1">
      <c r="A15" s="16">
        <v>2022.0</v>
      </c>
      <c r="B15" s="16">
        <v>1633.0</v>
      </c>
      <c r="C15" s="16">
        <v>697821.0</v>
      </c>
      <c r="D15" s="16">
        <v>186214.0</v>
      </c>
      <c r="E15" s="18">
        <v>26948.87</v>
      </c>
      <c r="F15" s="16">
        <v>44.9</v>
      </c>
      <c r="G15" s="16">
        <v>26.34</v>
      </c>
      <c r="H15" s="16">
        <v>11.93</v>
      </c>
      <c r="I15" s="16">
        <v>141.675</v>
      </c>
      <c r="J15" s="17">
        <f t="shared" si="1"/>
        <v>116.6299667</v>
      </c>
      <c r="K15" s="17">
        <f t="shared" si="2"/>
        <v>129.193038</v>
      </c>
      <c r="L15" s="17">
        <f t="shared" si="3"/>
        <v>110.7717353</v>
      </c>
    </row>
    <row r="16" ht="12.75" customHeight="1">
      <c r="A16" s="16">
        <v>2023.0</v>
      </c>
      <c r="B16" s="16">
        <v>1658.0</v>
      </c>
      <c r="C16" s="16">
        <v>623469.0</v>
      </c>
      <c r="D16" s="16">
        <v>185393.0</v>
      </c>
      <c r="E16" s="16">
        <v>28049.94</v>
      </c>
      <c r="F16" s="16">
        <v>43.26</v>
      </c>
      <c r="G16" s="16">
        <v>25.67</v>
      </c>
      <c r="H16" s="16">
        <v>10.9</v>
      </c>
      <c r="I16" s="16">
        <v>147.282</v>
      </c>
      <c r="J16" s="17">
        <f t="shared" si="1"/>
        <v>121.3952039</v>
      </c>
      <c r="K16" s="17">
        <f t="shared" si="2"/>
        <v>131.1708861</v>
      </c>
      <c r="L16" s="17">
        <f t="shared" si="3"/>
        <v>108.0527746</v>
      </c>
    </row>
    <row r="17" ht="12.75" customHeight="1">
      <c r="A17" s="16">
        <v>2024.0</v>
      </c>
      <c r="B17" s="16">
        <v>1776.0</v>
      </c>
      <c r="C17" s="16">
        <v>701847.0</v>
      </c>
      <c r="D17" s="16">
        <v>199492.0</v>
      </c>
      <c r="E17" s="16"/>
      <c r="F17" s="16">
        <v>40.7</v>
      </c>
      <c r="G17" s="16">
        <v>23.36</v>
      </c>
      <c r="H17" s="16">
        <v>10.12</v>
      </c>
      <c r="I17" s="16">
        <v>159.656</v>
      </c>
      <c r="K17" s="17">
        <f t="shared" si="2"/>
        <v>140.5063291</v>
      </c>
    </row>
    <row r="18" ht="12.75" customHeight="1">
      <c r="A18" s="16">
        <v>2025.0</v>
      </c>
      <c r="B18" s="16">
        <v>1910.0</v>
      </c>
      <c r="C18" s="16">
        <v>735172.0</v>
      </c>
      <c r="D18" s="16">
        <v>215249.0</v>
      </c>
      <c r="E18" s="16"/>
      <c r="F18" s="16">
        <v>36.97</v>
      </c>
      <c r="G18" s="16">
        <v>22.45</v>
      </c>
      <c r="H18" s="16">
        <v>9.28</v>
      </c>
      <c r="I18" s="16">
        <v>179.905</v>
      </c>
      <c r="K18" s="17">
        <f t="shared" si="2"/>
        <v>151.1075949</v>
      </c>
    </row>
    <row r="19" ht="12.75" customHeight="1">
      <c r="A19" s="16">
        <v>2026.0</v>
      </c>
      <c r="B19" s="16">
        <v>2065.0</v>
      </c>
      <c r="C19" s="16">
        <v>44474.0</v>
      </c>
      <c r="D19" s="16">
        <v>234796.0</v>
      </c>
      <c r="E19" s="16"/>
      <c r="F19" s="16">
        <v>39.13</v>
      </c>
      <c r="G19" s="16">
        <v>21.77</v>
      </c>
      <c r="H19" s="16">
        <v>9.72</v>
      </c>
      <c r="I19" s="16"/>
      <c r="K19" s="17">
        <f t="shared" si="2"/>
        <v>163.3702532</v>
      </c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custom" allowBlank="1" showDropDown="1" sqref="A2:I19">
      <formula1>AND(ISNUMBER(A2),(NOT(OR(NOT(ISERROR(DATEVALUE(A2))), AND(ISNUMBER(A2), LEFT(CELL("format", A2))="D")))))</formula1>
    </dataValidation>
  </dataValidations>
  <printOptions/>
  <pageMargins bottom="0.7875" footer="0.0" header="0.0" left="0.7875" right="0.7875" top="0.7875"/>
  <pageSetup paperSize="9" orientation="portrait"/>
  <drawing r:id="rId1"/>
  <tableParts count="1">
    <tablePart r:id="rId3"/>
  </tableParts>
</worksheet>
</file>